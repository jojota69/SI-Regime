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Rova RAKOTOBE\Documents\WORK\S4\SI\CodeIgniter\SI-Regime\"/>
    </mc:Choice>
  </mc:AlternateContent>
  <xr:revisionPtr revIDLastSave="0" documentId="13_ncr:1_{477D74D4-D595-44BD-8B47-E3CFC177B720}" xr6:coauthVersionLast="47" xr6:coauthVersionMax="47" xr10:uidLastSave="{00000000-0000-0000-0000-000000000000}"/>
  <bookViews>
    <workbookView xWindow="-120" yWindow="-120" windowWidth="20730" windowHeight="11760" tabRatio="500" activeTab="1" xr2:uid="{00000000-000D-0000-FFFF-FFFF00000000}"/>
  </bookViews>
  <sheets>
    <sheet name="Recap" sheetId="1" r:id="rId1"/>
    <sheet name="Liste des taches" sheetId="2" r:id="rId2"/>
    <sheet name="Avancement projet" sheetId="3" r:id="rId3"/>
    <sheet name="detail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3" l="1"/>
  <c r="C2" i="3"/>
  <c r="B2" i="3"/>
  <c r="A2" i="3"/>
</calcChain>
</file>

<file path=xl/sharedStrings.xml><?xml version="1.0" encoding="utf-8"?>
<sst xmlns="http://schemas.openxmlformats.org/spreadsheetml/2006/main" count="471" uniqueCount="172">
  <si>
    <t>Qui</t>
  </si>
  <si>
    <t>Estimation (h)</t>
  </si>
  <si>
    <t>Temps passé (h)</t>
  </si>
  <si>
    <t>Reste (h)</t>
  </si>
  <si>
    <t>Avancement</t>
  </si>
  <si>
    <t>Maeva</t>
  </si>
  <si>
    <t>100.0%</t>
  </si>
  <si>
    <t>Rova</t>
  </si>
  <si>
    <t>Mahenintsoa</t>
  </si>
  <si>
    <t>TOTAL</t>
  </si>
  <si>
    <t>Ligne</t>
  </si>
  <si>
    <t>Catégorie</t>
  </si>
  <si>
    <t>Module</t>
  </si>
  <si>
    <t>Nom page / fichier</t>
  </si>
  <si>
    <t>Description</t>
  </si>
  <si>
    <t>Type</t>
  </si>
  <si>
    <t>Reste à faire (h)</t>
  </si>
  <si>
    <t>Status</t>
  </si>
  <si>
    <t>Front Office</t>
  </si>
  <si>
    <t>Login</t>
  </si>
  <si>
    <t>login.php</t>
  </si>
  <si>
    <t>Page login – HTML/CSS complet + gestion erreurs validation</t>
  </si>
  <si>
    <t>HTML/CSS</t>
  </si>
  <si>
    <t>Terminé</t>
  </si>
  <si>
    <t>Formulaire POST /login avec affichage erreurs validation CI</t>
  </si>
  <si>
    <t>Code intégration</t>
  </si>
  <si>
    <t>Inscription</t>
  </si>
  <si>
    <t>inscription.php</t>
  </si>
  <si>
    <t>Page inscription étape 1 – infos perso (nom, prénom, email, genre, mdp)</t>
  </si>
  <si>
    <t>Page inscription étape 2 – infos santé (taille, poids)</t>
  </si>
  <si>
    <t>Barre de progression / étapes dynamiques</t>
  </si>
  <si>
    <t>JavaScript</t>
  </si>
  <si>
    <t>Soumission AJAX étape 1 → /user/validerEtape1 + affichage erreurs</t>
  </si>
  <si>
    <t>JavaScript/AJAX</t>
  </si>
  <si>
    <t>Soumission AJAX étape 2 → /user/finaliser + écran succès</t>
  </si>
  <si>
    <t>Dashboard</t>
  </si>
  <si>
    <t>home.php</t>
  </si>
  <si>
    <t>Page home – affichage IMC, objectif, suggestion régime</t>
  </si>
  <si>
    <t>Formulaire choix objectif POST /home/objectif</t>
  </si>
  <si>
    <t>Portefeuille</t>
  </si>
  <si>
    <t>Formulaire recharge portefeuille via code POST /home/recharge</t>
  </si>
  <si>
    <t>Gold</t>
  </si>
  <si>
    <t>Formulaire activation option Gold POST /home/gold</t>
  </si>
  <si>
    <t>Export PDF</t>
  </si>
  <si>
    <t>export_pdf.php</t>
  </si>
  <si>
    <t>Template PDF : profil, santé, IMC, suggestion régime, portefeuille</t>
  </si>
  <si>
    <t>Affichage prix Gold (remise 15%) vs prix normal dans le PDF</t>
  </si>
  <si>
    <t>Back Office</t>
  </si>
  <si>
    <t>Auth Admin</t>
  </si>
  <si>
    <t>bo_login</t>
  </si>
  <si>
    <t>Page authentification back office + route /admin</t>
  </si>
  <si>
    <t>Dashboard Admin</t>
  </si>
  <si>
    <t>admin.php</t>
  </si>
  <si>
    <t>Page accueil admin avec cartes navigation</t>
  </si>
  <si>
    <t>Régimes</t>
  </si>
  <si>
    <t>index.php (régimes)</t>
  </si>
  <si>
    <t>Liste régimes : composition %, variation poids, durée, prix, activités</t>
  </si>
  <si>
    <t>form.php (régimes)</t>
  </si>
  <si>
    <t>Formulaire création/édition régime : nom, %, variation, durée, objectif</t>
  </si>
  <si>
    <t>Table de prix dynamique par durée (ajout/suppression lignes JS)</t>
  </si>
  <si>
    <t>Sélection checkboxes activités associées au régime</t>
  </si>
  <si>
    <t>RegimeModel.php</t>
  </si>
  <si>
    <t>Model CI4 régimes + getSuggestionForObjectif() avec JOIN activités</t>
  </si>
  <si>
    <t>Fonction</t>
  </si>
  <si>
    <t>PrixRegimeModel.php</t>
  </si>
  <si>
    <t>Model CI4 prix_regimes + getPrixPourDuree() + getPrixForRegime()</t>
  </si>
  <si>
    <t>RegimeActiviteModel.php</t>
  </si>
  <si>
    <t>Model CI4 table pivot regime_activites</t>
  </si>
  <si>
    <t>Transversal</t>
  </si>
  <si>
    <t>Architecture</t>
  </si>
  <si>
    <t>Routes.php</t>
  </si>
  <si>
    <t>Définition toutes les routes CI4 (front + admin) : 25+ routes</t>
  </si>
  <si>
    <t>Statistiques</t>
  </si>
  <si>
    <t>statistiques.php</t>
  </si>
  <si>
    <t>Page stats admin : KPIs (users, régimes, activités, codes, revenus)</t>
  </si>
  <si>
    <t>Graphes Chart.js : régimes/objectif, activités/objectif, doughnut codes</t>
  </si>
  <si>
    <t>Tableau croisé pivot : objectif × régimes × activités × souscriptions</t>
  </si>
  <si>
    <t>Activités</t>
  </si>
  <si>
    <t>index.php (activités)</t>
  </si>
  <si>
    <t>Liste activités sportives avec objectif associé + flash messages</t>
  </si>
  <si>
    <t>form.php (activités)</t>
  </si>
  <si>
    <t>Formulaire création/édition activité + select objectif</t>
  </si>
  <si>
    <t>ActiviteSportiveModel.php</t>
  </si>
  <si>
    <t>Model CI4 activites_sportives (nom, objectif_id)</t>
  </si>
  <si>
    <t>Paramètres</t>
  </si>
  <si>
    <t>index.php (paramètres)</t>
  </si>
  <si>
    <t>Liste paramètres système (clé/valeur/description) + flash messages</t>
  </si>
  <si>
    <t>form.php (paramètres)</t>
  </si>
  <si>
    <t>Formulaire création/édition paramètre (clé readonly en édition)</t>
  </si>
  <si>
    <t>ParametreModel.php</t>
  </si>
  <si>
    <t>Model CI4 paramètres + getValue() + getFloat() normalisation virgule</t>
  </si>
  <si>
    <t>Codes Portefeuille</t>
  </si>
  <si>
    <t>gererCodes.php</t>
  </si>
  <si>
    <t>Page gestion codes : stats (total, disponibles, utilisés, en attente)</t>
  </si>
  <si>
    <t>Formulaire validation code admin POST /admin/codes/valider</t>
  </si>
  <si>
    <t>Table complète codes (code, montant, validation, utilisation, user_id, date)</t>
  </si>
  <si>
    <t>CodePortefeuilleModel.php</t>
  </si>
  <si>
    <t>Model CI4 : utiliserCode() avec transaction DB (increment solde + marquage)</t>
  </si>
  <si>
    <t>Model CI4 : getCodesInvalide(), trouverCode(), validerCode()</t>
  </si>
  <si>
    <t>Modèles</t>
  </si>
  <si>
    <t>UserModel.php</t>
  </si>
  <si>
    <t>Model CI4 users + getUserByEmail() (auth login)</t>
  </si>
  <si>
    <t>ProfilSanteModel.php</t>
  </si>
  <si>
    <t>Model CI4 profils_sante (taille, poids, IMC)</t>
  </si>
  <si>
    <t>ObjectifModel.php</t>
  </si>
  <si>
    <t>Model CI4 objectifs (3 objectifs)</t>
  </si>
  <si>
    <t>UserObjectifModel.php</t>
  </si>
  <si>
    <t>Model CI4 user_objectifs (user_id, objectif_id, poids_cible_kg)</t>
  </si>
  <si>
    <t>Base de données</t>
  </si>
  <si>
    <t>schema.sql</t>
  </si>
  <si>
    <t>Tables : users, profils_sante, objectifs, user_objectifs, régimes, prix_regimes, regime_activites, activites_sportives, codes_portefeuille, paramètres</t>
  </si>
  <si>
    <t>Base</t>
  </si>
  <si>
    <t>Données test</t>
  </si>
  <si>
    <t>seeds.sql</t>
  </si>
  <si>
    <t>5 utilisateurs + 5 régimes + 5 activités + 15 codes portefeuille + 3 objectifs</t>
  </si>
  <si>
    <t>Tâche</t>
  </si>
  <si>
    <t>04/05</t>
  </si>
  <si>
    <t>05/05</t>
  </si>
  <si>
    <t>06/05</t>
  </si>
  <si>
    <t>07/05</t>
  </si>
  <si>
    <t>08/05</t>
  </si>
  <si>
    <t>09/05</t>
  </si>
  <si>
    <t>10/05</t>
  </si>
  <si>
    <t>Total</t>
  </si>
  <si>
    <t>Inscription – Page inscription étape 1 – infos perso (nom, prénom, email, genre, mdp)</t>
  </si>
  <si>
    <t>Inscription – Page inscription étape 2 – infos santé (taille, poids)</t>
  </si>
  <si>
    <t>Inscription – Barre de progression / étapes dynamiques</t>
  </si>
  <si>
    <t>Dashboard – Page home – affichage IMC, objectif, suggestion régime</t>
  </si>
  <si>
    <t>Export PDF – Template PDF : profil, santé, IMC, suggestion régime, portefeuille</t>
  </si>
  <si>
    <t>Auth Admin – Page authentification back office + route /admin</t>
  </si>
  <si>
    <t>Dashboard Admin – Page accueil admin avec cartes navigation</t>
  </si>
  <si>
    <t>Régimes – Liste régimes : composition %, variation poids, durée, prix, activités</t>
  </si>
  <si>
    <t>Régimes – Formulaire création/édition régime : nom, %, variation, durée, objectif</t>
  </si>
  <si>
    <t>Régimes – Table de prix dynamique par durée (ajout/suppression lignes JS)</t>
  </si>
  <si>
    <t>Régimes – Sélection checkboxes activités associées au régime</t>
  </si>
  <si>
    <t>Régimes – Model CI4 régimes + getSuggestionForObjectif() avec JOIN activités</t>
  </si>
  <si>
    <t>Régimes – Model CI4 prix_regimes + getPrixPourDuree() + getPrixForRegime()</t>
  </si>
  <si>
    <t>Régimes – Model CI4 table pivot regime_activites</t>
  </si>
  <si>
    <t>Architecture – Définition toutes les routes CI4 (front + admin) : 25+ routes</t>
  </si>
  <si>
    <t>Statistiques – Page stats admin : KPIs (users, régimes, activités, codes, revenus)</t>
  </si>
  <si>
    <t>Statistiques – Graphes Chart.js : régimes/objectif, activités/objectif, doughnut codes</t>
  </si>
  <si>
    <t>Statistiques – Tableau croisé pivot : objectif × régimes × activités × souscriptions</t>
  </si>
  <si>
    <t>Activités – Liste activités sportives avec objectif associé + flash messages</t>
  </si>
  <si>
    <t>Activités – Formulaire création/édition activité + select objectif</t>
  </si>
  <si>
    <t>Activités – Model CI4 activites_sportives (nom, objectif_id)</t>
  </si>
  <si>
    <t>Paramètres – Liste paramètres système (clé/valeur/description) + flash messages</t>
  </si>
  <si>
    <t>Paramètres – Formulaire création/édition paramètre (clé readonly en édition)</t>
  </si>
  <si>
    <t>Paramètres – Model CI4 paramètres + getValue() + getFloat() normalisation virgule</t>
  </si>
  <si>
    <t>Codes Portefeuille – Page gestion codes : stats (total, disponibles, utilisés, en attente)</t>
  </si>
  <si>
    <t>Codes Portefeuille – Formulaire validation code admin POST /admin/codes/valider</t>
  </si>
  <si>
    <t>Codes Portefeuille – Table complète codes (code, montant, validation, utilisation, user_id, date)</t>
  </si>
  <si>
    <t>Codes Portefeuille – Model CI4 : utiliserCode() avec transaction DB (increment solde + marquage)</t>
  </si>
  <si>
    <t>Codes Portefeuille – Model CI4 : getCodesInvalide(), trouverCode(), validerCode()</t>
  </si>
  <si>
    <t>Modèles – Model CI4 users + getUserByEmail() (auth login)</t>
  </si>
  <si>
    <t>Modèles – Model CI4 profils_sante (taille, poids, IMC)</t>
  </si>
  <si>
    <t>Modèles – Model CI4 objectifs (3 objectifs)</t>
  </si>
  <si>
    <t>Modèles – Model CI4 user_objectifs (user_id, objectif_id, poids_cible_kg)</t>
  </si>
  <si>
    <t>Base de données – Tables : users, profils_sante, objectifs, user_objectifs, régimes, prix_regimes, regime_activites, activites_sportives, codes_portefeuille, paramètres</t>
  </si>
  <si>
    <t>Données test – 5 utilisateurs + 5 régimes + 5 activités + 15 codes portefeuille + 3 objectifs</t>
  </si>
  <si>
    <t xml:space="preserve">Login – Page login – HTML/CSS </t>
  </si>
  <si>
    <t>Login – Formulaire POST</t>
  </si>
  <si>
    <t>Inscription – Soumission AJAX étape 1</t>
  </si>
  <si>
    <t xml:space="preserve">Inscription – Soumission AJAX étape 2 </t>
  </si>
  <si>
    <t xml:space="preserve">Dashboard – Formulaire choix objectif </t>
  </si>
  <si>
    <t>Portefeuille – Formulaire recharge portefeuille via code</t>
  </si>
  <si>
    <t xml:space="preserve">Gold – Formulaire activation option Gold </t>
  </si>
  <si>
    <t xml:space="preserve">Export PDF – Affichage prix Gold (remise 15%) </t>
  </si>
  <si>
    <t>Etsimation totale</t>
  </si>
  <si>
    <t>temps passé total</t>
  </si>
  <si>
    <t>reste à faire total</t>
  </si>
  <si>
    <t>depassement</t>
  </si>
  <si>
    <t>Mahenitsoa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</si>
</sst>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0"/>
      <name val="Arial"/>
    </font>
    <font>
      <sz val="9"/>
      <name val="Arial"/>
    </font>
    <font>
      <b/>
      <sz val="11"/>
      <name val="Arial"/>
    </font>
    <font>
      <sz val="10"/>
      <name val="Arial"/>
    </font>
    <font>
      <sz val="11"/>
      <name val="Arial"/>
      <family val="2"/>
    </font>
    <font>
      <b/>
      <sz val="11"/>
      <name val="Arial"/>
      <family val="2"/>
    </font>
    <font>
      <sz val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6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2" fillId="8" borderId="1" xfId="0" applyFont="1" applyFill="1" applyBorder="1" applyAlignment="1">
      <alignment vertical="center"/>
    </xf>
    <xf numFmtId="9" fontId="0" fillId="0" borderId="0" xfId="0" applyNumberFormat="1"/>
    <xf numFmtId="0" fontId="2" fillId="3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9E7"/>
      <rgbColor rgb="FFEBF5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ABEBC6"/>
      <rgbColor rgb="FFD5F5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zoomScaleNormal="100" workbookViewId="0">
      <selection activeCell="A3" sqref="A3"/>
    </sheetView>
  </sheetViews>
  <sheetFormatPr defaultColWidth="10.5703125" defaultRowHeight="15" x14ac:dyDescent="0.25"/>
  <cols>
    <col min="1" max="1" width="18" customWidth="1"/>
    <col min="2" max="3" width="16" customWidth="1"/>
    <col min="4" max="5" width="14" customWidth="1"/>
  </cols>
  <sheetData>
    <row r="1" spans="1:5" ht="15.75" customHeight="1" x14ac:dyDescent="0.25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</row>
    <row r="2" spans="1:5" x14ac:dyDescent="0.25">
      <c r="A2" s="9" t="s">
        <v>5</v>
      </c>
      <c r="B2" s="2">
        <v>15</v>
      </c>
      <c r="C2" s="2">
        <v>15</v>
      </c>
      <c r="D2" s="2">
        <v>0</v>
      </c>
      <c r="E2" s="2" t="s">
        <v>6</v>
      </c>
    </row>
    <row r="3" spans="1:5" ht="14.25" customHeight="1" x14ac:dyDescent="0.25">
      <c r="A3" s="12" t="s">
        <v>7</v>
      </c>
      <c r="B3" s="2">
        <v>15</v>
      </c>
      <c r="C3" s="2">
        <v>15</v>
      </c>
      <c r="D3" s="2">
        <v>0</v>
      </c>
      <c r="E3" s="2" t="s">
        <v>6</v>
      </c>
    </row>
    <row r="4" spans="1:5" ht="14.25" customHeight="1" x14ac:dyDescent="0.25">
      <c r="A4" s="10" t="s">
        <v>8</v>
      </c>
      <c r="B4" s="2">
        <v>15</v>
      </c>
      <c r="C4" s="2">
        <v>15</v>
      </c>
      <c r="D4" s="2">
        <v>0</v>
      </c>
      <c r="E4" s="2" t="s">
        <v>6</v>
      </c>
    </row>
    <row r="5" spans="1:5" ht="14.25" customHeight="1" x14ac:dyDescent="0.25">
      <c r="A5" s="1" t="s">
        <v>9</v>
      </c>
      <c r="B5" s="1">
        <v>45</v>
      </c>
      <c r="C5" s="1">
        <v>45</v>
      </c>
      <c r="D5" s="1">
        <v>0</v>
      </c>
      <c r="E5" s="1" t="s">
        <v>6</v>
      </c>
    </row>
    <row r="6" spans="1:5" ht="14.25" customHeight="1" x14ac:dyDescent="0.25"/>
    <row r="7" spans="1:5" ht="14.25" customHeight="1" x14ac:dyDescent="0.25"/>
  </sheetData>
  <mergeCells count="1">
    <mergeCell ref="A1:E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tabSelected="1" topLeftCell="E1" zoomScaleNormal="100" workbookViewId="0">
      <pane ySplit="1" topLeftCell="A30" activePane="bottomLeft" state="frozen"/>
      <selection pane="bottomLeft" activeCell="K2" sqref="K2"/>
    </sheetView>
  </sheetViews>
  <sheetFormatPr defaultColWidth="10.5703125" defaultRowHeight="15" x14ac:dyDescent="0.25"/>
  <cols>
    <col min="1" max="1" width="6" customWidth="1"/>
    <col min="2" max="2" width="14" customWidth="1"/>
    <col min="3" max="3" width="18" customWidth="1"/>
    <col min="4" max="4" width="26" customWidth="1"/>
    <col min="5" max="5" width="59.5703125" customWidth="1"/>
    <col min="6" max="6" width="16" customWidth="1"/>
    <col min="7" max="10" width="12" customWidth="1"/>
    <col min="11" max="11" width="14" customWidth="1"/>
    <col min="12" max="12" width="10" customWidth="1"/>
  </cols>
  <sheetData>
    <row r="1" spans="1:12" ht="32.1" customHeight="1" x14ac:dyDescent="0.25">
      <c r="A1" s="8" t="s">
        <v>10</v>
      </c>
      <c r="B1" s="8" t="s">
        <v>11</v>
      </c>
      <c r="C1" s="8" t="s">
        <v>12</v>
      </c>
      <c r="D1" s="8" t="s">
        <v>13</v>
      </c>
      <c r="E1" s="8" t="s">
        <v>14</v>
      </c>
      <c r="F1" s="8" t="s">
        <v>15</v>
      </c>
      <c r="G1" s="8" t="s">
        <v>1</v>
      </c>
      <c r="H1" s="8" t="s">
        <v>2</v>
      </c>
      <c r="I1" s="8" t="s">
        <v>16</v>
      </c>
      <c r="J1" s="8" t="s">
        <v>4</v>
      </c>
      <c r="K1" s="8" t="s">
        <v>0</v>
      </c>
      <c r="L1" s="8" t="s">
        <v>17</v>
      </c>
    </row>
    <row r="2" spans="1:12" ht="14.25" customHeight="1" x14ac:dyDescent="0.25">
      <c r="A2" s="3">
        <v>1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>
        <v>2</v>
      </c>
      <c r="H2" s="3">
        <v>2</v>
      </c>
      <c r="I2" s="3">
        <v>0</v>
      </c>
      <c r="J2" s="3" t="s">
        <v>6</v>
      </c>
      <c r="K2" s="17" t="s">
        <v>5</v>
      </c>
      <c r="L2" s="20" t="s">
        <v>23</v>
      </c>
    </row>
    <row r="3" spans="1:12" ht="14.25" customHeight="1" x14ac:dyDescent="0.25">
      <c r="A3" s="3">
        <v>2</v>
      </c>
      <c r="B3" s="3" t="s">
        <v>18</v>
      </c>
      <c r="C3" s="3" t="s">
        <v>19</v>
      </c>
      <c r="D3" s="3" t="s">
        <v>20</v>
      </c>
      <c r="E3" s="3" t="s">
        <v>24</v>
      </c>
      <c r="F3" s="3" t="s">
        <v>25</v>
      </c>
      <c r="G3" s="3">
        <v>1</v>
      </c>
      <c r="H3" s="3">
        <v>1</v>
      </c>
      <c r="I3" s="3">
        <v>0</v>
      </c>
      <c r="J3" s="3" t="s">
        <v>6</v>
      </c>
      <c r="K3" s="17" t="s">
        <v>5</v>
      </c>
      <c r="L3" s="20" t="s">
        <v>23</v>
      </c>
    </row>
    <row r="4" spans="1:12" ht="14.25" customHeight="1" x14ac:dyDescent="0.25">
      <c r="A4" s="3">
        <v>3</v>
      </c>
      <c r="B4" s="3" t="s">
        <v>18</v>
      </c>
      <c r="C4" s="3" t="s">
        <v>26</v>
      </c>
      <c r="D4" s="3" t="s">
        <v>27</v>
      </c>
      <c r="E4" s="3" t="s">
        <v>28</v>
      </c>
      <c r="F4" s="3" t="s">
        <v>22</v>
      </c>
      <c r="G4" s="3">
        <v>1.5</v>
      </c>
      <c r="H4" s="3">
        <v>1.5</v>
      </c>
      <c r="I4" s="3">
        <v>0</v>
      </c>
      <c r="J4" s="3" t="s">
        <v>6</v>
      </c>
      <c r="K4" s="17" t="s">
        <v>5</v>
      </c>
      <c r="L4" s="20" t="s">
        <v>23</v>
      </c>
    </row>
    <row r="5" spans="1:12" ht="14.25" customHeight="1" x14ac:dyDescent="0.25">
      <c r="A5" s="3">
        <v>4</v>
      </c>
      <c r="B5" s="3" t="s">
        <v>18</v>
      </c>
      <c r="C5" s="3" t="s">
        <v>26</v>
      </c>
      <c r="D5" s="3" t="s">
        <v>27</v>
      </c>
      <c r="E5" s="3" t="s">
        <v>29</v>
      </c>
      <c r="F5" s="3" t="s">
        <v>22</v>
      </c>
      <c r="G5" s="3">
        <v>1</v>
      </c>
      <c r="H5" s="3">
        <v>1</v>
      </c>
      <c r="I5" s="3">
        <v>0</v>
      </c>
      <c r="J5" s="3" t="s">
        <v>6</v>
      </c>
      <c r="K5" s="17" t="s">
        <v>5</v>
      </c>
      <c r="L5" s="20" t="s">
        <v>23</v>
      </c>
    </row>
    <row r="6" spans="1:12" ht="14.25" customHeight="1" x14ac:dyDescent="0.25">
      <c r="A6" s="3">
        <v>5</v>
      </c>
      <c r="B6" s="3" t="s">
        <v>18</v>
      </c>
      <c r="C6" s="3" t="s">
        <v>26</v>
      </c>
      <c r="D6" s="3" t="s">
        <v>27</v>
      </c>
      <c r="E6" s="3" t="s">
        <v>30</v>
      </c>
      <c r="F6" s="3" t="s">
        <v>31</v>
      </c>
      <c r="G6" s="3">
        <v>0.5</v>
      </c>
      <c r="H6" s="3">
        <v>0.5</v>
      </c>
      <c r="I6" s="3">
        <v>0</v>
      </c>
      <c r="J6" s="3" t="s">
        <v>6</v>
      </c>
      <c r="K6" s="17" t="s">
        <v>5</v>
      </c>
      <c r="L6" s="20" t="s">
        <v>23</v>
      </c>
    </row>
    <row r="7" spans="1:12" ht="14.25" customHeight="1" x14ac:dyDescent="0.25">
      <c r="A7" s="3">
        <v>6</v>
      </c>
      <c r="B7" s="3" t="s">
        <v>18</v>
      </c>
      <c r="C7" s="3" t="s">
        <v>26</v>
      </c>
      <c r="D7" s="3" t="s">
        <v>27</v>
      </c>
      <c r="E7" s="3" t="s">
        <v>32</v>
      </c>
      <c r="F7" s="3" t="s">
        <v>33</v>
      </c>
      <c r="G7" s="3">
        <v>1</v>
      </c>
      <c r="H7" s="3">
        <v>1</v>
      </c>
      <c r="I7" s="3">
        <v>0</v>
      </c>
      <c r="J7" s="3" t="s">
        <v>6</v>
      </c>
      <c r="K7" s="17" t="s">
        <v>5</v>
      </c>
      <c r="L7" s="20" t="s">
        <v>23</v>
      </c>
    </row>
    <row r="8" spans="1:12" ht="14.25" customHeight="1" x14ac:dyDescent="0.25">
      <c r="A8" s="3">
        <v>7</v>
      </c>
      <c r="B8" s="3" t="s">
        <v>18</v>
      </c>
      <c r="C8" s="3" t="s">
        <v>26</v>
      </c>
      <c r="D8" s="3" t="s">
        <v>27</v>
      </c>
      <c r="E8" s="3" t="s">
        <v>34</v>
      </c>
      <c r="F8" s="3" t="s">
        <v>33</v>
      </c>
      <c r="G8" s="3">
        <v>1</v>
      </c>
      <c r="H8" s="3">
        <v>1</v>
      </c>
      <c r="I8" s="3">
        <v>0</v>
      </c>
      <c r="J8" s="3" t="s">
        <v>6</v>
      </c>
      <c r="K8" s="17" t="s">
        <v>5</v>
      </c>
      <c r="L8" s="20" t="s">
        <v>23</v>
      </c>
    </row>
    <row r="9" spans="1:12" ht="14.25" customHeight="1" x14ac:dyDescent="0.25">
      <c r="A9" s="3">
        <v>8</v>
      </c>
      <c r="B9" s="3" t="s">
        <v>18</v>
      </c>
      <c r="C9" s="3" t="s">
        <v>35</v>
      </c>
      <c r="D9" s="3" t="s">
        <v>36</v>
      </c>
      <c r="E9" s="3" t="s">
        <v>37</v>
      </c>
      <c r="F9" s="3" t="s">
        <v>22</v>
      </c>
      <c r="G9" s="3">
        <v>2</v>
      </c>
      <c r="H9" s="3">
        <v>2</v>
      </c>
      <c r="I9" s="3">
        <v>0</v>
      </c>
      <c r="J9" s="3" t="s">
        <v>6</v>
      </c>
      <c r="K9" s="17" t="s">
        <v>5</v>
      </c>
      <c r="L9" s="20" t="s">
        <v>23</v>
      </c>
    </row>
    <row r="10" spans="1:12" ht="14.25" customHeight="1" x14ac:dyDescent="0.25">
      <c r="A10" s="3">
        <v>9</v>
      </c>
      <c r="B10" s="3" t="s">
        <v>18</v>
      </c>
      <c r="C10" s="3" t="s">
        <v>35</v>
      </c>
      <c r="D10" s="3" t="s">
        <v>36</v>
      </c>
      <c r="E10" s="3" t="s">
        <v>38</v>
      </c>
      <c r="F10" s="3" t="s">
        <v>25</v>
      </c>
      <c r="G10" s="3">
        <v>1</v>
      </c>
      <c r="H10" s="3">
        <v>1</v>
      </c>
      <c r="I10" s="3">
        <v>0</v>
      </c>
      <c r="J10" s="3" t="s">
        <v>6</v>
      </c>
      <c r="K10" s="17" t="s">
        <v>5</v>
      </c>
      <c r="L10" s="20" t="s">
        <v>23</v>
      </c>
    </row>
    <row r="11" spans="1:12" ht="14.25" customHeight="1" x14ac:dyDescent="0.25">
      <c r="A11" s="3">
        <v>10</v>
      </c>
      <c r="B11" s="3" t="s">
        <v>18</v>
      </c>
      <c r="C11" s="3" t="s">
        <v>39</v>
      </c>
      <c r="D11" s="3" t="s">
        <v>36</v>
      </c>
      <c r="E11" s="3" t="s">
        <v>40</v>
      </c>
      <c r="F11" s="3" t="s">
        <v>22</v>
      </c>
      <c r="G11" s="3">
        <v>1</v>
      </c>
      <c r="H11" s="3">
        <v>1</v>
      </c>
      <c r="I11" s="3">
        <v>0</v>
      </c>
      <c r="J11" s="3" t="s">
        <v>6</v>
      </c>
      <c r="K11" s="17" t="s">
        <v>5</v>
      </c>
      <c r="L11" s="20" t="s">
        <v>23</v>
      </c>
    </row>
    <row r="12" spans="1:12" ht="14.25" customHeight="1" x14ac:dyDescent="0.25">
      <c r="A12" s="3">
        <v>11</v>
      </c>
      <c r="B12" s="3" t="s">
        <v>18</v>
      </c>
      <c r="C12" s="3" t="s">
        <v>41</v>
      </c>
      <c r="D12" s="3" t="s">
        <v>36</v>
      </c>
      <c r="E12" s="3" t="s">
        <v>42</v>
      </c>
      <c r="F12" s="3" t="s">
        <v>22</v>
      </c>
      <c r="G12" s="3">
        <v>0.5</v>
      </c>
      <c r="H12" s="3">
        <v>0.5</v>
      </c>
      <c r="I12" s="3">
        <v>0</v>
      </c>
      <c r="J12" s="3" t="s">
        <v>6</v>
      </c>
      <c r="K12" s="17" t="s">
        <v>5</v>
      </c>
      <c r="L12" s="20" t="s">
        <v>23</v>
      </c>
    </row>
    <row r="13" spans="1:12" ht="14.25" customHeight="1" x14ac:dyDescent="0.25">
      <c r="A13" s="3">
        <v>12</v>
      </c>
      <c r="B13" s="3" t="s">
        <v>18</v>
      </c>
      <c r="C13" s="3" t="s">
        <v>43</v>
      </c>
      <c r="D13" s="3" t="s">
        <v>44</v>
      </c>
      <c r="E13" s="3" t="s">
        <v>45</v>
      </c>
      <c r="F13" s="3" t="s">
        <v>22</v>
      </c>
      <c r="G13" s="3">
        <v>2</v>
      </c>
      <c r="H13" s="3">
        <v>2</v>
      </c>
      <c r="I13" s="3">
        <v>0</v>
      </c>
      <c r="J13" s="3" t="s">
        <v>6</v>
      </c>
      <c r="K13" s="17" t="s">
        <v>5</v>
      </c>
      <c r="L13" s="20" t="s">
        <v>23</v>
      </c>
    </row>
    <row r="14" spans="1:12" ht="14.25" customHeight="1" x14ac:dyDescent="0.25">
      <c r="A14" s="3">
        <v>13</v>
      </c>
      <c r="B14" s="3" t="s">
        <v>18</v>
      </c>
      <c r="C14" s="3" t="s">
        <v>43</v>
      </c>
      <c r="D14" s="3" t="s">
        <v>44</v>
      </c>
      <c r="E14" s="3" t="s">
        <v>46</v>
      </c>
      <c r="F14" s="3" t="s">
        <v>25</v>
      </c>
      <c r="G14" s="3">
        <v>0.5</v>
      </c>
      <c r="H14" s="3">
        <v>0.5</v>
      </c>
      <c r="I14" s="3">
        <v>0</v>
      </c>
      <c r="J14" s="3" t="s">
        <v>6</v>
      </c>
      <c r="K14" s="17" t="s">
        <v>5</v>
      </c>
      <c r="L14" s="20" t="s">
        <v>23</v>
      </c>
    </row>
    <row r="15" spans="1:12" ht="14.25" customHeight="1" x14ac:dyDescent="0.25">
      <c r="A15" s="3">
        <v>14</v>
      </c>
      <c r="B15" s="3" t="s">
        <v>47</v>
      </c>
      <c r="C15" s="3" t="s">
        <v>48</v>
      </c>
      <c r="D15" s="3" t="s">
        <v>49</v>
      </c>
      <c r="E15" s="3" t="s">
        <v>50</v>
      </c>
      <c r="F15" s="3" t="s">
        <v>22</v>
      </c>
      <c r="G15" s="3">
        <v>1</v>
      </c>
      <c r="H15" s="3">
        <v>1</v>
      </c>
      <c r="I15" s="3">
        <v>0</v>
      </c>
      <c r="J15" s="3" t="s">
        <v>6</v>
      </c>
      <c r="K15" s="18" t="s">
        <v>7</v>
      </c>
      <c r="L15" s="20" t="s">
        <v>23</v>
      </c>
    </row>
    <row r="16" spans="1:12" ht="14.25" customHeight="1" x14ac:dyDescent="0.25">
      <c r="A16" s="3">
        <v>15</v>
      </c>
      <c r="B16" s="3" t="s">
        <v>47</v>
      </c>
      <c r="C16" s="3" t="s">
        <v>51</v>
      </c>
      <c r="D16" s="3" t="s">
        <v>52</v>
      </c>
      <c r="E16" s="3" t="s">
        <v>53</v>
      </c>
      <c r="F16" s="3" t="s">
        <v>22</v>
      </c>
      <c r="G16" s="3">
        <v>1.5</v>
      </c>
      <c r="H16" s="3">
        <v>1.5</v>
      </c>
      <c r="I16" s="3">
        <v>0</v>
      </c>
      <c r="J16" s="3" t="s">
        <v>6</v>
      </c>
      <c r="K16" s="18" t="s">
        <v>7</v>
      </c>
      <c r="L16" s="20" t="s">
        <v>23</v>
      </c>
    </row>
    <row r="17" spans="1:12" ht="14.25" customHeight="1" x14ac:dyDescent="0.25">
      <c r="A17" s="3">
        <v>16</v>
      </c>
      <c r="B17" s="3" t="s">
        <v>47</v>
      </c>
      <c r="C17" s="3" t="s">
        <v>54</v>
      </c>
      <c r="D17" s="3" t="s">
        <v>55</v>
      </c>
      <c r="E17" s="3" t="s">
        <v>56</v>
      </c>
      <c r="F17" s="3" t="s">
        <v>22</v>
      </c>
      <c r="G17" s="3">
        <v>1.5</v>
      </c>
      <c r="H17" s="3">
        <v>1.5</v>
      </c>
      <c r="I17" s="3">
        <v>0</v>
      </c>
      <c r="J17" s="3" t="s">
        <v>6</v>
      </c>
      <c r="K17" s="18" t="s">
        <v>7</v>
      </c>
      <c r="L17" s="20" t="s">
        <v>23</v>
      </c>
    </row>
    <row r="18" spans="1:12" ht="14.25" customHeight="1" x14ac:dyDescent="0.25">
      <c r="A18" s="3">
        <v>17</v>
      </c>
      <c r="B18" s="3" t="s">
        <v>47</v>
      </c>
      <c r="C18" s="3" t="s">
        <v>54</v>
      </c>
      <c r="D18" s="3" t="s">
        <v>57</v>
      </c>
      <c r="E18" s="3" t="s">
        <v>58</v>
      </c>
      <c r="F18" s="3" t="s">
        <v>22</v>
      </c>
      <c r="G18" s="3">
        <v>1.5</v>
      </c>
      <c r="H18" s="3">
        <v>1.5</v>
      </c>
      <c r="I18" s="3">
        <v>0</v>
      </c>
      <c r="J18" s="3" t="s">
        <v>6</v>
      </c>
      <c r="K18" s="18" t="s">
        <v>7</v>
      </c>
      <c r="L18" s="20" t="s">
        <v>23</v>
      </c>
    </row>
    <row r="19" spans="1:12" ht="14.25" customHeight="1" x14ac:dyDescent="0.25">
      <c r="A19" s="3">
        <v>18</v>
      </c>
      <c r="B19" s="3" t="s">
        <v>47</v>
      </c>
      <c r="C19" s="3" t="s">
        <v>54</v>
      </c>
      <c r="D19" s="3" t="s">
        <v>57</v>
      </c>
      <c r="E19" s="3" t="s">
        <v>59</v>
      </c>
      <c r="F19" s="3" t="s">
        <v>31</v>
      </c>
      <c r="G19" s="3">
        <v>1</v>
      </c>
      <c r="H19" s="3">
        <v>1</v>
      </c>
      <c r="I19" s="3">
        <v>0</v>
      </c>
      <c r="J19" s="3" t="s">
        <v>6</v>
      </c>
      <c r="K19" s="18" t="s">
        <v>7</v>
      </c>
      <c r="L19" s="20" t="s">
        <v>23</v>
      </c>
    </row>
    <row r="20" spans="1:12" ht="14.25" customHeight="1" x14ac:dyDescent="0.25">
      <c r="A20" s="3">
        <v>19</v>
      </c>
      <c r="B20" s="3" t="s">
        <v>47</v>
      </c>
      <c r="C20" s="3" t="s">
        <v>54</v>
      </c>
      <c r="D20" s="3" t="s">
        <v>57</v>
      </c>
      <c r="E20" s="3" t="s">
        <v>60</v>
      </c>
      <c r="F20" s="3" t="s">
        <v>22</v>
      </c>
      <c r="G20" s="3">
        <v>0.5</v>
      </c>
      <c r="H20" s="3">
        <v>0.5</v>
      </c>
      <c r="I20" s="3">
        <v>0</v>
      </c>
      <c r="J20" s="3" t="s">
        <v>6</v>
      </c>
      <c r="K20" s="18" t="s">
        <v>7</v>
      </c>
      <c r="L20" s="20" t="s">
        <v>23</v>
      </c>
    </row>
    <row r="21" spans="1:12" ht="14.25" customHeight="1" x14ac:dyDescent="0.25">
      <c r="A21" s="3">
        <v>20</v>
      </c>
      <c r="B21" s="3" t="s">
        <v>47</v>
      </c>
      <c r="C21" s="3" t="s">
        <v>54</v>
      </c>
      <c r="D21" s="3" t="s">
        <v>61</v>
      </c>
      <c r="E21" s="3" t="s">
        <v>62</v>
      </c>
      <c r="F21" s="3" t="s">
        <v>63</v>
      </c>
      <c r="G21" s="3">
        <v>1.5</v>
      </c>
      <c r="H21" s="3">
        <v>1.5</v>
      </c>
      <c r="I21" s="3">
        <v>0</v>
      </c>
      <c r="J21" s="3" t="s">
        <v>6</v>
      </c>
      <c r="K21" s="18" t="s">
        <v>7</v>
      </c>
      <c r="L21" s="20" t="s">
        <v>23</v>
      </c>
    </row>
    <row r="22" spans="1:12" ht="14.25" customHeight="1" x14ac:dyDescent="0.25">
      <c r="A22" s="3">
        <v>21</v>
      </c>
      <c r="B22" s="3" t="s">
        <v>47</v>
      </c>
      <c r="C22" s="3" t="s">
        <v>54</v>
      </c>
      <c r="D22" s="3" t="s">
        <v>64</v>
      </c>
      <c r="E22" s="3" t="s">
        <v>65</v>
      </c>
      <c r="F22" s="3" t="s">
        <v>63</v>
      </c>
      <c r="G22" s="3">
        <v>1</v>
      </c>
      <c r="H22" s="3">
        <v>1</v>
      </c>
      <c r="I22" s="3">
        <v>0</v>
      </c>
      <c r="J22" s="3" t="s">
        <v>6</v>
      </c>
      <c r="K22" s="18" t="s">
        <v>7</v>
      </c>
      <c r="L22" s="20" t="s">
        <v>23</v>
      </c>
    </row>
    <row r="23" spans="1:12" ht="14.25" customHeight="1" x14ac:dyDescent="0.25">
      <c r="A23" s="3">
        <v>22</v>
      </c>
      <c r="B23" s="3" t="s">
        <v>47</v>
      </c>
      <c r="C23" s="3" t="s">
        <v>54</v>
      </c>
      <c r="D23" s="3" t="s">
        <v>66</v>
      </c>
      <c r="E23" s="3" t="s">
        <v>67</v>
      </c>
      <c r="F23" s="3" t="s">
        <v>63</v>
      </c>
      <c r="G23" s="3">
        <v>0.5</v>
      </c>
      <c r="H23" s="3">
        <v>0.5</v>
      </c>
      <c r="I23" s="3">
        <v>0</v>
      </c>
      <c r="J23" s="3" t="s">
        <v>6</v>
      </c>
      <c r="K23" s="18" t="s">
        <v>7</v>
      </c>
      <c r="L23" s="20" t="s">
        <v>23</v>
      </c>
    </row>
    <row r="24" spans="1:12" ht="14.25" customHeight="1" x14ac:dyDescent="0.25">
      <c r="A24" s="3">
        <v>23</v>
      </c>
      <c r="B24" s="3" t="s">
        <v>68</v>
      </c>
      <c r="C24" s="3" t="s">
        <v>69</v>
      </c>
      <c r="D24" s="3" t="s">
        <v>70</v>
      </c>
      <c r="E24" s="3" t="s">
        <v>71</v>
      </c>
      <c r="F24" s="3" t="s">
        <v>25</v>
      </c>
      <c r="G24" s="3">
        <v>1</v>
      </c>
      <c r="H24" s="3">
        <v>1</v>
      </c>
      <c r="I24" s="3">
        <v>0</v>
      </c>
      <c r="J24" s="3" t="s">
        <v>6</v>
      </c>
      <c r="K24" s="18" t="s">
        <v>7</v>
      </c>
      <c r="L24" s="20" t="s">
        <v>23</v>
      </c>
    </row>
    <row r="25" spans="1:12" ht="14.25" customHeight="1" x14ac:dyDescent="0.25">
      <c r="A25" s="3">
        <v>24</v>
      </c>
      <c r="B25" s="3" t="s">
        <v>47</v>
      </c>
      <c r="C25" s="3" t="s">
        <v>72</v>
      </c>
      <c r="D25" s="3" t="s">
        <v>73</v>
      </c>
      <c r="E25" s="3" t="s">
        <v>74</v>
      </c>
      <c r="F25" s="3" t="s">
        <v>22</v>
      </c>
      <c r="G25" s="3">
        <v>1.5</v>
      </c>
      <c r="H25" s="3">
        <v>1.5</v>
      </c>
      <c r="I25" s="3">
        <v>0</v>
      </c>
      <c r="J25" s="3" t="s">
        <v>6</v>
      </c>
      <c r="K25" s="18" t="s">
        <v>7</v>
      </c>
      <c r="L25" s="20" t="s">
        <v>23</v>
      </c>
    </row>
    <row r="26" spans="1:12" ht="14.25" customHeight="1" x14ac:dyDescent="0.25">
      <c r="A26" s="3">
        <v>25</v>
      </c>
      <c r="B26" s="3" t="s">
        <v>47</v>
      </c>
      <c r="C26" s="3" t="s">
        <v>72</v>
      </c>
      <c r="D26" s="3" t="s">
        <v>73</v>
      </c>
      <c r="E26" s="3" t="s">
        <v>75</v>
      </c>
      <c r="F26" s="3" t="s">
        <v>31</v>
      </c>
      <c r="G26" s="3">
        <v>1.5</v>
      </c>
      <c r="H26" s="3">
        <v>1.5</v>
      </c>
      <c r="I26" s="3">
        <v>0</v>
      </c>
      <c r="J26" s="3" t="s">
        <v>6</v>
      </c>
      <c r="K26" s="18" t="s">
        <v>7</v>
      </c>
      <c r="L26" s="20" t="s">
        <v>23</v>
      </c>
    </row>
    <row r="27" spans="1:12" ht="14.25" customHeight="1" x14ac:dyDescent="0.25">
      <c r="A27" s="3">
        <v>26</v>
      </c>
      <c r="B27" s="3" t="s">
        <v>47</v>
      </c>
      <c r="C27" s="3" t="s">
        <v>72</v>
      </c>
      <c r="D27" s="3" t="s">
        <v>73</v>
      </c>
      <c r="E27" s="3" t="s">
        <v>76</v>
      </c>
      <c r="F27" s="3" t="s">
        <v>25</v>
      </c>
      <c r="G27" s="3">
        <v>1</v>
      </c>
      <c r="H27" s="3">
        <v>1</v>
      </c>
      <c r="I27" s="3">
        <v>0</v>
      </c>
      <c r="J27" s="3" t="s">
        <v>6</v>
      </c>
      <c r="K27" s="18" t="s">
        <v>7</v>
      </c>
      <c r="L27" s="20" t="s">
        <v>23</v>
      </c>
    </row>
    <row r="28" spans="1:12" ht="14.25" customHeight="1" x14ac:dyDescent="0.25">
      <c r="A28" s="3">
        <v>27</v>
      </c>
      <c r="B28" s="3" t="s">
        <v>47</v>
      </c>
      <c r="C28" s="3" t="s">
        <v>77</v>
      </c>
      <c r="D28" s="3" t="s">
        <v>78</v>
      </c>
      <c r="E28" s="3" t="s">
        <v>79</v>
      </c>
      <c r="F28" s="3" t="s">
        <v>22</v>
      </c>
      <c r="G28" s="3">
        <v>1</v>
      </c>
      <c r="H28" s="3">
        <v>1</v>
      </c>
      <c r="I28" s="3">
        <v>0</v>
      </c>
      <c r="J28" s="3" t="s">
        <v>6</v>
      </c>
      <c r="K28" s="23" t="s">
        <v>171</v>
      </c>
      <c r="L28" s="20" t="s">
        <v>23</v>
      </c>
    </row>
    <row r="29" spans="1:12" ht="14.25" customHeight="1" x14ac:dyDescent="0.25">
      <c r="A29" s="3">
        <v>28</v>
      </c>
      <c r="B29" s="3" t="s">
        <v>47</v>
      </c>
      <c r="C29" s="3" t="s">
        <v>77</v>
      </c>
      <c r="D29" s="3" t="s">
        <v>80</v>
      </c>
      <c r="E29" s="3" t="s">
        <v>81</v>
      </c>
      <c r="F29" s="3" t="s">
        <v>22</v>
      </c>
      <c r="G29" s="3">
        <v>1</v>
      </c>
      <c r="H29" s="3">
        <v>1</v>
      </c>
      <c r="I29" s="3">
        <v>0</v>
      </c>
      <c r="J29" s="3" t="s">
        <v>6</v>
      </c>
      <c r="K29" s="23" t="s">
        <v>171</v>
      </c>
      <c r="L29" s="20" t="s">
        <v>23</v>
      </c>
    </row>
    <row r="30" spans="1:12" ht="14.25" customHeight="1" x14ac:dyDescent="0.25">
      <c r="A30" s="3">
        <v>29</v>
      </c>
      <c r="B30" s="3" t="s">
        <v>47</v>
      </c>
      <c r="C30" s="3" t="s">
        <v>77</v>
      </c>
      <c r="D30" s="3" t="s">
        <v>82</v>
      </c>
      <c r="E30" s="3" t="s">
        <v>83</v>
      </c>
      <c r="F30" s="3" t="s">
        <v>63</v>
      </c>
      <c r="G30" s="3">
        <v>0.5</v>
      </c>
      <c r="H30" s="3">
        <v>0.5</v>
      </c>
      <c r="I30" s="3">
        <v>0</v>
      </c>
      <c r="J30" s="3" t="s">
        <v>6</v>
      </c>
      <c r="K30" s="23" t="s">
        <v>171</v>
      </c>
      <c r="L30" s="20" t="s">
        <v>23</v>
      </c>
    </row>
    <row r="31" spans="1:12" ht="14.25" customHeight="1" x14ac:dyDescent="0.25">
      <c r="A31" s="3">
        <v>30</v>
      </c>
      <c r="B31" s="3" t="s">
        <v>47</v>
      </c>
      <c r="C31" s="3" t="s">
        <v>84</v>
      </c>
      <c r="D31" s="3" t="s">
        <v>85</v>
      </c>
      <c r="E31" s="3" t="s">
        <v>86</v>
      </c>
      <c r="F31" s="3" t="s">
        <v>22</v>
      </c>
      <c r="G31" s="3">
        <v>1</v>
      </c>
      <c r="H31" s="3">
        <v>1</v>
      </c>
      <c r="I31" s="3">
        <v>0</v>
      </c>
      <c r="J31" s="3" t="s">
        <v>6</v>
      </c>
      <c r="K31" s="23" t="s">
        <v>171</v>
      </c>
      <c r="L31" s="20" t="s">
        <v>23</v>
      </c>
    </row>
    <row r="32" spans="1:12" ht="14.25" customHeight="1" x14ac:dyDescent="0.25">
      <c r="A32" s="3">
        <v>31</v>
      </c>
      <c r="B32" s="3" t="s">
        <v>47</v>
      </c>
      <c r="C32" s="3" t="s">
        <v>84</v>
      </c>
      <c r="D32" s="3" t="s">
        <v>87</v>
      </c>
      <c r="E32" s="3" t="s">
        <v>88</v>
      </c>
      <c r="F32" s="3" t="s">
        <v>22</v>
      </c>
      <c r="G32" s="3">
        <v>1</v>
      </c>
      <c r="H32" s="3">
        <v>1</v>
      </c>
      <c r="I32" s="3">
        <v>0</v>
      </c>
      <c r="J32" s="3" t="s">
        <v>6</v>
      </c>
      <c r="K32" s="23" t="s">
        <v>171</v>
      </c>
      <c r="L32" s="20" t="s">
        <v>23</v>
      </c>
    </row>
    <row r="33" spans="1:12" ht="14.25" customHeight="1" x14ac:dyDescent="0.25">
      <c r="A33" s="3">
        <v>32</v>
      </c>
      <c r="B33" s="3" t="s">
        <v>47</v>
      </c>
      <c r="C33" s="3" t="s">
        <v>84</v>
      </c>
      <c r="D33" s="3" t="s">
        <v>89</v>
      </c>
      <c r="E33" s="3" t="s">
        <v>90</v>
      </c>
      <c r="F33" s="3" t="s">
        <v>63</v>
      </c>
      <c r="G33" s="3">
        <v>1</v>
      </c>
      <c r="H33" s="3">
        <v>1</v>
      </c>
      <c r="I33" s="3">
        <v>0</v>
      </c>
      <c r="J33" s="3" t="s">
        <v>6</v>
      </c>
      <c r="K33" s="23" t="s">
        <v>171</v>
      </c>
      <c r="L33" s="20" t="s">
        <v>23</v>
      </c>
    </row>
    <row r="34" spans="1:12" ht="14.25" customHeight="1" x14ac:dyDescent="0.25">
      <c r="A34" s="3">
        <v>33</v>
      </c>
      <c r="B34" s="3" t="s">
        <v>47</v>
      </c>
      <c r="C34" s="3" t="s">
        <v>91</v>
      </c>
      <c r="D34" s="3" t="s">
        <v>92</v>
      </c>
      <c r="E34" s="3" t="s">
        <v>93</v>
      </c>
      <c r="F34" s="3" t="s">
        <v>22</v>
      </c>
      <c r="G34" s="3">
        <v>1</v>
      </c>
      <c r="H34" s="3">
        <v>1</v>
      </c>
      <c r="I34" s="3">
        <v>0</v>
      </c>
      <c r="J34" s="3" t="s">
        <v>6</v>
      </c>
      <c r="K34" s="23" t="s">
        <v>171</v>
      </c>
      <c r="L34" s="20" t="s">
        <v>23</v>
      </c>
    </row>
    <row r="35" spans="1:12" ht="14.25" customHeight="1" x14ac:dyDescent="0.25">
      <c r="A35" s="3">
        <v>34</v>
      </c>
      <c r="B35" s="3" t="s">
        <v>47</v>
      </c>
      <c r="C35" s="3" t="s">
        <v>91</v>
      </c>
      <c r="D35" s="3" t="s">
        <v>92</v>
      </c>
      <c r="E35" s="3" t="s">
        <v>94</v>
      </c>
      <c r="F35" s="3" t="s">
        <v>22</v>
      </c>
      <c r="G35" s="3">
        <v>0.5</v>
      </c>
      <c r="H35" s="3">
        <v>0.5</v>
      </c>
      <c r="I35" s="3">
        <v>0</v>
      </c>
      <c r="J35" s="3" t="s">
        <v>6</v>
      </c>
      <c r="K35" s="19" t="s">
        <v>8</v>
      </c>
      <c r="L35" s="20" t="s">
        <v>23</v>
      </c>
    </row>
    <row r="36" spans="1:12" ht="14.25" customHeight="1" x14ac:dyDescent="0.25">
      <c r="A36" s="3">
        <v>35</v>
      </c>
      <c r="B36" s="3" t="s">
        <v>47</v>
      </c>
      <c r="C36" s="3" t="s">
        <v>91</v>
      </c>
      <c r="D36" s="3" t="s">
        <v>92</v>
      </c>
      <c r="E36" s="3" t="s">
        <v>95</v>
      </c>
      <c r="F36" s="3" t="s">
        <v>22</v>
      </c>
      <c r="G36" s="3">
        <v>1</v>
      </c>
      <c r="H36" s="3">
        <v>1</v>
      </c>
      <c r="I36" s="3">
        <v>0</v>
      </c>
      <c r="J36" s="3" t="s">
        <v>6</v>
      </c>
      <c r="K36" s="19" t="s">
        <v>8</v>
      </c>
      <c r="L36" s="20" t="s">
        <v>23</v>
      </c>
    </row>
    <row r="37" spans="1:12" ht="23.25" customHeight="1" x14ac:dyDescent="0.25">
      <c r="A37" s="3">
        <v>36</v>
      </c>
      <c r="B37" s="3" t="s">
        <v>47</v>
      </c>
      <c r="C37" s="3" t="s">
        <v>91</v>
      </c>
      <c r="D37" s="3" t="s">
        <v>96</v>
      </c>
      <c r="E37" s="3" t="s">
        <v>97</v>
      </c>
      <c r="F37" s="3" t="s">
        <v>63</v>
      </c>
      <c r="G37" s="3">
        <v>1.5</v>
      </c>
      <c r="H37" s="3">
        <v>1.5</v>
      </c>
      <c r="I37" s="3">
        <v>0</v>
      </c>
      <c r="J37" s="3" t="s">
        <v>6</v>
      </c>
      <c r="K37" s="23" t="s">
        <v>171</v>
      </c>
      <c r="L37" s="20" t="s">
        <v>23</v>
      </c>
    </row>
    <row r="38" spans="1:12" ht="14.25" customHeight="1" x14ac:dyDescent="0.25">
      <c r="A38" s="3">
        <v>37</v>
      </c>
      <c r="B38" s="3" t="s">
        <v>47</v>
      </c>
      <c r="C38" s="3" t="s">
        <v>91</v>
      </c>
      <c r="D38" s="3" t="s">
        <v>96</v>
      </c>
      <c r="E38" s="3" t="s">
        <v>98</v>
      </c>
      <c r="F38" s="3" t="s">
        <v>63</v>
      </c>
      <c r="G38" s="3">
        <v>0.5</v>
      </c>
      <c r="H38" s="3">
        <v>0.5</v>
      </c>
      <c r="I38" s="3">
        <v>0</v>
      </c>
      <c r="J38" s="3" t="s">
        <v>6</v>
      </c>
      <c r="K38" s="23" t="s">
        <v>171</v>
      </c>
      <c r="L38" s="20" t="s">
        <v>23</v>
      </c>
    </row>
    <row r="39" spans="1:12" ht="14.25" customHeight="1" x14ac:dyDescent="0.25">
      <c r="A39" s="3">
        <v>38</v>
      </c>
      <c r="B39" s="3" t="s">
        <v>47</v>
      </c>
      <c r="C39" s="3" t="s">
        <v>99</v>
      </c>
      <c r="D39" s="3" t="s">
        <v>100</v>
      </c>
      <c r="E39" s="3" t="s">
        <v>101</v>
      </c>
      <c r="F39" s="3" t="s">
        <v>63</v>
      </c>
      <c r="G39" s="3">
        <v>0.5</v>
      </c>
      <c r="H39" s="3">
        <v>0.5</v>
      </c>
      <c r="I39" s="3">
        <v>0</v>
      </c>
      <c r="J39" s="3" t="s">
        <v>6</v>
      </c>
      <c r="K39" s="23" t="s">
        <v>171</v>
      </c>
      <c r="L39" s="20" t="s">
        <v>23</v>
      </c>
    </row>
    <row r="40" spans="1:12" ht="14.25" customHeight="1" x14ac:dyDescent="0.25">
      <c r="A40" s="3">
        <v>39</v>
      </c>
      <c r="B40" s="3" t="s">
        <v>47</v>
      </c>
      <c r="C40" s="3" t="s">
        <v>99</v>
      </c>
      <c r="D40" s="3" t="s">
        <v>102</v>
      </c>
      <c r="E40" s="3" t="s">
        <v>103</v>
      </c>
      <c r="F40" s="3" t="s">
        <v>63</v>
      </c>
      <c r="G40" s="3">
        <v>0.5</v>
      </c>
      <c r="H40" s="3">
        <v>0.5</v>
      </c>
      <c r="I40" s="3">
        <v>0</v>
      </c>
      <c r="J40" s="3" t="s">
        <v>6</v>
      </c>
      <c r="K40" s="23" t="s">
        <v>171</v>
      </c>
      <c r="L40" s="20" t="s">
        <v>23</v>
      </c>
    </row>
    <row r="41" spans="1:12" ht="14.25" customHeight="1" x14ac:dyDescent="0.25">
      <c r="A41" s="3">
        <v>40</v>
      </c>
      <c r="B41" s="3" t="s">
        <v>47</v>
      </c>
      <c r="C41" s="3" t="s">
        <v>99</v>
      </c>
      <c r="D41" s="3" t="s">
        <v>104</v>
      </c>
      <c r="E41" s="3" t="s">
        <v>105</v>
      </c>
      <c r="F41" s="3" t="s">
        <v>63</v>
      </c>
      <c r="G41" s="3">
        <v>0.5</v>
      </c>
      <c r="H41" s="3">
        <v>0.5</v>
      </c>
      <c r="I41" s="3">
        <v>0</v>
      </c>
      <c r="J41" s="3" t="s">
        <v>6</v>
      </c>
      <c r="K41" s="23" t="s">
        <v>171</v>
      </c>
      <c r="L41" s="20" t="s">
        <v>23</v>
      </c>
    </row>
    <row r="42" spans="1:12" ht="22.35" customHeight="1" x14ac:dyDescent="0.25">
      <c r="A42" s="3">
        <v>41</v>
      </c>
      <c r="B42" s="3" t="s">
        <v>47</v>
      </c>
      <c r="C42" s="3" t="s">
        <v>99</v>
      </c>
      <c r="D42" s="3" t="s">
        <v>106</v>
      </c>
      <c r="E42" s="3" t="s">
        <v>107</v>
      </c>
      <c r="F42" s="3" t="s">
        <v>63</v>
      </c>
      <c r="G42" s="3">
        <v>0.5</v>
      </c>
      <c r="H42" s="3">
        <v>0.5</v>
      </c>
      <c r="I42" s="3">
        <v>0</v>
      </c>
      <c r="J42" s="3" t="s">
        <v>6</v>
      </c>
      <c r="K42" s="23" t="s">
        <v>171</v>
      </c>
      <c r="L42" s="20" t="s">
        <v>23</v>
      </c>
    </row>
    <row r="43" spans="1:12" ht="32.85" customHeight="1" x14ac:dyDescent="0.25">
      <c r="A43" s="3">
        <v>42</v>
      </c>
      <c r="B43" s="3" t="s">
        <v>68</v>
      </c>
      <c r="C43" s="3" t="s">
        <v>108</v>
      </c>
      <c r="D43" s="3" t="s">
        <v>109</v>
      </c>
      <c r="E43" s="3" t="s">
        <v>110</v>
      </c>
      <c r="F43" s="3" t="s">
        <v>111</v>
      </c>
      <c r="G43" s="3">
        <v>2</v>
      </c>
      <c r="H43" s="3">
        <v>2</v>
      </c>
      <c r="I43" s="3">
        <v>0</v>
      </c>
      <c r="J43" s="3" t="s">
        <v>6</v>
      </c>
      <c r="K43" s="23" t="s">
        <v>171</v>
      </c>
      <c r="L43" s="20" t="s">
        <v>23</v>
      </c>
    </row>
    <row r="44" spans="1:12" ht="22.35" customHeight="1" x14ac:dyDescent="0.25">
      <c r="A44" s="3">
        <v>43</v>
      </c>
      <c r="B44" s="3" t="s">
        <v>68</v>
      </c>
      <c r="C44" s="3" t="s">
        <v>112</v>
      </c>
      <c r="D44" s="3" t="s">
        <v>113</v>
      </c>
      <c r="E44" s="3" t="s">
        <v>114</v>
      </c>
      <c r="F44" s="3" t="s">
        <v>111</v>
      </c>
      <c r="G44" s="3">
        <v>1</v>
      </c>
      <c r="H44" s="3">
        <v>1</v>
      </c>
      <c r="I44" s="3">
        <v>0</v>
      </c>
      <c r="J44" s="3" t="s">
        <v>6</v>
      </c>
      <c r="K44" s="23" t="s">
        <v>171</v>
      </c>
      <c r="L44" s="20" t="s">
        <v>23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zoomScaleNormal="100" workbookViewId="0">
      <selection activeCell="E1" sqref="E1"/>
    </sheetView>
  </sheetViews>
  <sheetFormatPr defaultColWidth="10.5703125" defaultRowHeight="15" x14ac:dyDescent="0.25"/>
  <cols>
    <col min="1" max="2" width="22" customWidth="1"/>
    <col min="3" max="4" width="18" customWidth="1"/>
    <col min="5" max="5" width="14" customWidth="1"/>
  </cols>
  <sheetData>
    <row r="1" spans="1:5" ht="15" customHeight="1" x14ac:dyDescent="0.25">
      <c r="A1" s="21" t="s">
        <v>167</v>
      </c>
      <c r="B1" s="21" t="s">
        <v>168</v>
      </c>
      <c r="C1" s="21" t="s">
        <v>169</v>
      </c>
      <c r="D1" s="21" t="s">
        <v>4</v>
      </c>
      <c r="E1" s="21" t="s">
        <v>170</v>
      </c>
    </row>
    <row r="2" spans="1:5" x14ac:dyDescent="0.25">
      <c r="A2">
        <f>SUM('Liste des taches'!G:G)</f>
        <v>45</v>
      </c>
      <c r="B2">
        <f>SUM('Liste des taches'!H:H)</f>
        <v>45</v>
      </c>
      <c r="C2">
        <f>SUM('Liste des taches'!I:I)</f>
        <v>0</v>
      </c>
      <c r="D2" s="16">
        <v>1</v>
      </c>
      <c r="E2">
        <f>'Avancement projet'!J:J</f>
        <v>0</v>
      </c>
    </row>
    <row r="3" spans="1:5" ht="14.25" customHeight="1" x14ac:dyDescent="0.25"/>
    <row r="4" spans="1:5" ht="14.25" customHeight="1" x14ac:dyDescent="0.25"/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5"/>
  <sheetViews>
    <sheetView zoomScaleNormal="100" workbookViewId="0">
      <pane xSplit="3" ySplit="1" topLeftCell="E2" activePane="bottomRight" state="frozen"/>
      <selection pane="topRight" activeCell="D1" sqref="D1"/>
      <selection pane="bottomLeft" activeCell="A2" sqref="A2"/>
      <selection pane="bottomRight" activeCell="K2" sqref="K2"/>
    </sheetView>
  </sheetViews>
  <sheetFormatPr defaultColWidth="10.5703125" defaultRowHeight="15" x14ac:dyDescent="0.25"/>
  <cols>
    <col min="1" max="1" width="6" customWidth="1"/>
    <col min="2" max="2" width="14" customWidth="1"/>
    <col min="3" max="3" width="77.5703125" customWidth="1"/>
    <col min="4" max="11" width="9" customWidth="1"/>
  </cols>
  <sheetData>
    <row r="1" spans="1:11" ht="14.25" customHeight="1" x14ac:dyDescent="0.25">
      <c r="A1" s="6" t="s">
        <v>10</v>
      </c>
      <c r="B1" s="7" t="s">
        <v>0</v>
      </c>
      <c r="C1" s="7" t="s">
        <v>115</v>
      </c>
      <c r="D1" s="7" t="s">
        <v>116</v>
      </c>
      <c r="E1" s="7" t="s">
        <v>117</v>
      </c>
      <c r="F1" s="7" t="s">
        <v>118</v>
      </c>
      <c r="G1" s="7" t="s">
        <v>119</v>
      </c>
      <c r="H1" s="7" t="s">
        <v>120</v>
      </c>
      <c r="I1" s="7" t="s">
        <v>121</v>
      </c>
      <c r="J1" s="7" t="s">
        <v>122</v>
      </c>
      <c r="K1" s="7" t="s">
        <v>123</v>
      </c>
    </row>
    <row r="2" spans="1:11" ht="14.25" customHeight="1" x14ac:dyDescent="0.25">
      <c r="A2" s="4">
        <v>1</v>
      </c>
      <c r="B2" s="11" t="s">
        <v>5</v>
      </c>
      <c r="C2" s="5" t="s">
        <v>159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2</v>
      </c>
    </row>
    <row r="3" spans="1:11" ht="14.25" customHeight="1" x14ac:dyDescent="0.25">
      <c r="A3" s="4">
        <v>2</v>
      </c>
      <c r="B3" s="11" t="s">
        <v>5</v>
      </c>
      <c r="C3" s="5" t="s">
        <v>160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1</v>
      </c>
    </row>
    <row r="4" spans="1:11" ht="14.25" customHeight="1" x14ac:dyDescent="0.25">
      <c r="A4" s="4">
        <v>3</v>
      </c>
      <c r="B4" s="11" t="s">
        <v>5</v>
      </c>
      <c r="C4" s="5" t="s">
        <v>124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1.5</v>
      </c>
    </row>
    <row r="5" spans="1:11" ht="14.25" customHeight="1" x14ac:dyDescent="0.25">
      <c r="A5" s="4">
        <v>4</v>
      </c>
      <c r="B5" s="11" t="s">
        <v>5</v>
      </c>
      <c r="C5" s="3" t="s">
        <v>125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1</v>
      </c>
    </row>
    <row r="6" spans="1:11" ht="14.25" customHeight="1" x14ac:dyDescent="0.25">
      <c r="A6" s="4">
        <v>5</v>
      </c>
      <c r="B6" s="11" t="s">
        <v>5</v>
      </c>
      <c r="C6" s="3" t="s">
        <v>126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0.5</v>
      </c>
    </row>
    <row r="7" spans="1:11" ht="14.25" customHeight="1" x14ac:dyDescent="0.25">
      <c r="A7" s="4">
        <v>6</v>
      </c>
      <c r="B7" s="11" t="s">
        <v>5</v>
      </c>
      <c r="C7" s="5" t="s">
        <v>161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1</v>
      </c>
    </row>
    <row r="8" spans="1:11" ht="14.25" customHeight="1" x14ac:dyDescent="0.25">
      <c r="A8" s="4">
        <v>7</v>
      </c>
      <c r="B8" s="11" t="s">
        <v>5</v>
      </c>
      <c r="C8" s="5" t="s">
        <v>162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1</v>
      </c>
    </row>
    <row r="9" spans="1:11" ht="14.25" customHeight="1" x14ac:dyDescent="0.25">
      <c r="A9" s="4">
        <v>8</v>
      </c>
      <c r="B9" s="11" t="s">
        <v>5</v>
      </c>
      <c r="C9" s="3" t="s">
        <v>127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2</v>
      </c>
    </row>
    <row r="10" spans="1:11" ht="14.25" customHeight="1" x14ac:dyDescent="0.25">
      <c r="A10" s="4">
        <v>9</v>
      </c>
      <c r="B10" s="11" t="s">
        <v>5</v>
      </c>
      <c r="C10" s="5" t="s">
        <v>163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1</v>
      </c>
    </row>
    <row r="11" spans="1:11" ht="14.25" customHeight="1" x14ac:dyDescent="0.25">
      <c r="A11" s="4">
        <v>10</v>
      </c>
      <c r="B11" s="11" t="s">
        <v>5</v>
      </c>
      <c r="C11" s="5" t="s">
        <v>164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1</v>
      </c>
    </row>
    <row r="12" spans="1:11" ht="14.25" customHeight="1" x14ac:dyDescent="0.25">
      <c r="A12" s="4">
        <v>11</v>
      </c>
      <c r="B12" s="11" t="s">
        <v>5</v>
      </c>
      <c r="C12" s="5" t="s">
        <v>165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0.5</v>
      </c>
    </row>
    <row r="13" spans="1:11" ht="14.25" customHeight="1" x14ac:dyDescent="0.25">
      <c r="A13" s="4">
        <v>12</v>
      </c>
      <c r="B13" s="11" t="s">
        <v>5</v>
      </c>
      <c r="C13" s="3" t="s">
        <v>128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2</v>
      </c>
    </row>
    <row r="14" spans="1:11" ht="14.25" customHeight="1" x14ac:dyDescent="0.25">
      <c r="A14" s="4">
        <v>13</v>
      </c>
      <c r="B14" s="11" t="s">
        <v>5</v>
      </c>
      <c r="C14" s="5" t="s">
        <v>166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0.5</v>
      </c>
    </row>
    <row r="15" spans="1:11" ht="14.25" customHeight="1" x14ac:dyDescent="0.25">
      <c r="A15" s="4">
        <v>14</v>
      </c>
      <c r="B15" s="13" t="s">
        <v>7</v>
      </c>
      <c r="C15" s="3" t="s">
        <v>129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1</v>
      </c>
    </row>
    <row r="16" spans="1:11" ht="14.25" customHeight="1" x14ac:dyDescent="0.25">
      <c r="A16" s="4">
        <v>15</v>
      </c>
      <c r="B16" s="13" t="s">
        <v>7</v>
      </c>
      <c r="C16" s="3" t="s">
        <v>130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1.5</v>
      </c>
    </row>
    <row r="17" spans="1:11" ht="14.25" customHeight="1" x14ac:dyDescent="0.25">
      <c r="A17" s="4">
        <v>16</v>
      </c>
      <c r="B17" s="13" t="s">
        <v>7</v>
      </c>
      <c r="C17" s="3" t="s">
        <v>131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1.5</v>
      </c>
    </row>
    <row r="18" spans="1:11" ht="14.25" customHeight="1" x14ac:dyDescent="0.25">
      <c r="A18" s="4">
        <v>17</v>
      </c>
      <c r="B18" s="13" t="s">
        <v>7</v>
      </c>
      <c r="C18" s="3" t="s">
        <v>132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1.5</v>
      </c>
    </row>
    <row r="19" spans="1:11" ht="14.25" customHeight="1" x14ac:dyDescent="0.25">
      <c r="A19" s="4">
        <v>18</v>
      </c>
      <c r="B19" s="13" t="s">
        <v>7</v>
      </c>
      <c r="C19" s="3" t="s">
        <v>133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1</v>
      </c>
    </row>
    <row r="20" spans="1:11" ht="14.25" customHeight="1" x14ac:dyDescent="0.25">
      <c r="A20" s="4">
        <v>19</v>
      </c>
      <c r="B20" s="13" t="s">
        <v>7</v>
      </c>
      <c r="C20" s="3" t="s">
        <v>134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0.5</v>
      </c>
    </row>
    <row r="21" spans="1:11" ht="14.25" customHeight="1" x14ac:dyDescent="0.25">
      <c r="A21" s="4">
        <v>20</v>
      </c>
      <c r="B21" s="13" t="s">
        <v>7</v>
      </c>
      <c r="C21" s="3" t="s">
        <v>135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1.5</v>
      </c>
    </row>
    <row r="22" spans="1:11" ht="14.25" customHeight="1" x14ac:dyDescent="0.25">
      <c r="A22" s="4">
        <v>21</v>
      </c>
      <c r="B22" s="13" t="s">
        <v>7</v>
      </c>
      <c r="C22" s="3" t="s">
        <v>136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1</v>
      </c>
    </row>
    <row r="23" spans="1:11" ht="14.25" customHeight="1" x14ac:dyDescent="0.25">
      <c r="A23" s="4">
        <v>22</v>
      </c>
      <c r="B23" s="13" t="s">
        <v>7</v>
      </c>
      <c r="C23" s="3" t="s">
        <v>137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0.5</v>
      </c>
    </row>
    <row r="24" spans="1:11" ht="14.25" customHeight="1" x14ac:dyDescent="0.25">
      <c r="A24" s="4">
        <v>23</v>
      </c>
      <c r="B24" s="13" t="s">
        <v>7</v>
      </c>
      <c r="C24" s="3" t="s">
        <v>138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1</v>
      </c>
    </row>
    <row r="25" spans="1:11" ht="14.25" customHeight="1" x14ac:dyDescent="0.25">
      <c r="A25" s="4">
        <v>24</v>
      </c>
      <c r="B25" s="13" t="s">
        <v>7</v>
      </c>
      <c r="C25" s="3" t="s">
        <v>139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1.5</v>
      </c>
    </row>
    <row r="26" spans="1:11" ht="14.25" customHeight="1" x14ac:dyDescent="0.25">
      <c r="A26" s="4">
        <v>25</v>
      </c>
      <c r="B26" s="13" t="s">
        <v>7</v>
      </c>
      <c r="C26" s="3" t="s">
        <v>140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1.5</v>
      </c>
    </row>
    <row r="27" spans="1:11" ht="14.25" customHeight="1" x14ac:dyDescent="0.25">
      <c r="A27" s="4">
        <v>26</v>
      </c>
      <c r="B27" s="13" t="s">
        <v>7</v>
      </c>
      <c r="C27" s="3" t="s">
        <v>141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1</v>
      </c>
    </row>
    <row r="28" spans="1:11" ht="14.25" customHeight="1" x14ac:dyDescent="0.25">
      <c r="A28" s="4">
        <v>27</v>
      </c>
      <c r="B28" s="14" t="s">
        <v>8</v>
      </c>
      <c r="C28" s="3" t="s">
        <v>142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1</v>
      </c>
    </row>
    <row r="29" spans="1:11" ht="14.25" customHeight="1" x14ac:dyDescent="0.25">
      <c r="A29" s="4">
        <v>28</v>
      </c>
      <c r="B29" s="14" t="s">
        <v>8</v>
      </c>
      <c r="C29" s="3" t="s">
        <v>143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1</v>
      </c>
    </row>
    <row r="30" spans="1:11" ht="14.25" customHeight="1" x14ac:dyDescent="0.25">
      <c r="A30" s="4">
        <v>29</v>
      </c>
      <c r="B30" s="14" t="s">
        <v>8</v>
      </c>
      <c r="C30" s="3" t="s">
        <v>144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0.5</v>
      </c>
    </row>
    <row r="31" spans="1:11" ht="14.25" customHeight="1" x14ac:dyDescent="0.25">
      <c r="A31" s="4">
        <v>30</v>
      </c>
      <c r="B31" s="14" t="s">
        <v>8</v>
      </c>
      <c r="C31" s="3" t="s">
        <v>145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1</v>
      </c>
    </row>
    <row r="32" spans="1:11" ht="14.25" customHeight="1" x14ac:dyDescent="0.25">
      <c r="A32" s="4">
        <v>31</v>
      </c>
      <c r="B32" s="14" t="s">
        <v>8</v>
      </c>
      <c r="C32" s="3" t="s">
        <v>146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1</v>
      </c>
    </row>
    <row r="33" spans="1:11" ht="14.25" customHeight="1" x14ac:dyDescent="0.25">
      <c r="A33" s="4">
        <v>32</v>
      </c>
      <c r="B33" s="14" t="s">
        <v>8</v>
      </c>
      <c r="C33" s="3" t="s">
        <v>147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1</v>
      </c>
    </row>
    <row r="34" spans="1:11" ht="14.25" customHeight="1" x14ac:dyDescent="0.25">
      <c r="A34" s="4">
        <v>33</v>
      </c>
      <c r="B34" s="14" t="s">
        <v>8</v>
      </c>
      <c r="C34" s="3" t="s">
        <v>148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1</v>
      </c>
    </row>
    <row r="35" spans="1:11" ht="14.25" customHeight="1" x14ac:dyDescent="0.25">
      <c r="A35" s="4">
        <v>34</v>
      </c>
      <c r="B35" s="14" t="s">
        <v>8</v>
      </c>
      <c r="C35" s="3" t="s">
        <v>149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0.5</v>
      </c>
    </row>
    <row r="36" spans="1:11" ht="14.25" customHeight="1" x14ac:dyDescent="0.25">
      <c r="A36" s="4">
        <v>35</v>
      </c>
      <c r="B36" s="14" t="s">
        <v>8</v>
      </c>
      <c r="C36" s="3" t="s">
        <v>150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1</v>
      </c>
    </row>
    <row r="37" spans="1:11" ht="14.25" customHeight="1" x14ac:dyDescent="0.25">
      <c r="A37" s="4">
        <v>36</v>
      </c>
      <c r="B37" s="14" t="s">
        <v>8</v>
      </c>
      <c r="C37" s="3" t="s">
        <v>151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1.5</v>
      </c>
    </row>
    <row r="38" spans="1:11" ht="14.25" customHeight="1" x14ac:dyDescent="0.25">
      <c r="A38" s="4">
        <v>37</v>
      </c>
      <c r="B38" s="14" t="s">
        <v>8</v>
      </c>
      <c r="C38" s="3" t="s">
        <v>152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0.5</v>
      </c>
    </row>
    <row r="39" spans="1:11" ht="14.25" customHeight="1" x14ac:dyDescent="0.25">
      <c r="A39" s="4">
        <v>38</v>
      </c>
      <c r="B39" s="14" t="s">
        <v>8</v>
      </c>
      <c r="C39" s="3" t="s">
        <v>153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0.5</v>
      </c>
    </row>
    <row r="40" spans="1:11" ht="14.25" customHeight="1" x14ac:dyDescent="0.25">
      <c r="A40" s="4">
        <v>39</v>
      </c>
      <c r="B40" s="14" t="s">
        <v>8</v>
      </c>
      <c r="C40" s="3" t="s">
        <v>154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0.5</v>
      </c>
    </row>
    <row r="41" spans="1:11" ht="14.25" customHeight="1" x14ac:dyDescent="0.25">
      <c r="A41" s="4">
        <v>40</v>
      </c>
      <c r="B41" s="14" t="s">
        <v>8</v>
      </c>
      <c r="C41" s="3" t="s">
        <v>155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0.5</v>
      </c>
    </row>
    <row r="42" spans="1:11" ht="22.35" customHeight="1" x14ac:dyDescent="0.25">
      <c r="A42" s="4">
        <v>41</v>
      </c>
      <c r="B42" s="14" t="s">
        <v>8</v>
      </c>
      <c r="C42" s="3" t="s">
        <v>156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0.5</v>
      </c>
    </row>
    <row r="43" spans="1:11" ht="43.35" customHeight="1" x14ac:dyDescent="0.25">
      <c r="A43" s="4">
        <v>42</v>
      </c>
      <c r="B43" s="14" t="s">
        <v>8</v>
      </c>
      <c r="C43" s="3" t="s">
        <v>157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2</v>
      </c>
    </row>
    <row r="44" spans="1:11" ht="22.35" customHeight="1" x14ac:dyDescent="0.25">
      <c r="A44" s="4">
        <v>43</v>
      </c>
      <c r="B44" s="14" t="s">
        <v>8</v>
      </c>
      <c r="C44" s="3" t="s">
        <v>158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1</v>
      </c>
    </row>
    <row r="45" spans="1:11" x14ac:dyDescent="0.25">
      <c r="B45" s="15"/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Recap</vt:lpstr>
      <vt:lpstr>Liste des taches</vt:lpstr>
      <vt:lpstr>Avancement projet</vt:lpstr>
      <vt:lpstr>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11</dc:creator>
  <cp:lastModifiedBy>Rova RAKOTOBE</cp:lastModifiedBy>
  <cp:revision>0</cp:revision>
  <dcterms:created xsi:type="dcterms:W3CDTF">2026-05-10T09:08:37Z</dcterms:created>
  <dcterms:modified xsi:type="dcterms:W3CDTF">2026-05-10T16:06:02Z</dcterms:modified>
  <dc:language>en-US</dc:language>
</cp:coreProperties>
</file>